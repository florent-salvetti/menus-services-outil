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05\Desktop\"/>
    </mc:Choice>
  </mc:AlternateContent>
  <xr:revisionPtr revIDLastSave="0" documentId="8_{65D6741F-51E3-46ED-AD45-50E673CC6737}" xr6:coauthVersionLast="47" xr6:coauthVersionMax="47" xr10:uidLastSave="{00000000-0000-0000-0000-000000000000}"/>
  <bookViews>
    <workbookView xWindow="-120" yWindow="-120" windowWidth="29040" windowHeight="15720" xr2:uid="{77EA4A08-1B24-422E-B48B-22A91F37970A}"/>
  </bookViews>
  <sheets>
    <sheet name="Tarifs 26" sheetId="1" r:id="rId1"/>
  </sheets>
  <definedNames>
    <definedName name="_xlnm.Print_Area" localSheetId="0">'Tarifs 26'!$A$1:$H$52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E4" i="1"/>
  <c r="D4" i="1" s="1"/>
  <c r="G4" i="1"/>
  <c r="C5" i="1"/>
  <c r="G5" i="1"/>
  <c r="E5" i="1" s="1"/>
  <c r="C6" i="1"/>
  <c r="E6" i="1"/>
  <c r="D6" i="1" s="1"/>
  <c r="F6" i="1"/>
  <c r="G6" i="1"/>
  <c r="C7" i="1"/>
  <c r="G7" i="1"/>
  <c r="E7" i="1" s="1"/>
  <c r="C8" i="1"/>
  <c r="E8" i="1"/>
  <c r="D8" i="1" s="1"/>
  <c r="G8" i="1"/>
  <c r="C9" i="1"/>
  <c r="E9" i="1"/>
  <c r="D9" i="1" s="1"/>
  <c r="F9" i="1"/>
  <c r="G9" i="1"/>
  <c r="C10" i="1"/>
  <c r="G10" i="1"/>
  <c r="E10" i="1" s="1"/>
  <c r="C11" i="1"/>
  <c r="E11" i="1"/>
  <c r="F11" i="1" s="1"/>
  <c r="G11" i="1"/>
  <c r="C12" i="1"/>
  <c r="E12" i="1"/>
  <c r="D12" i="1" s="1"/>
  <c r="F12" i="1"/>
  <c r="G12" i="1"/>
  <c r="C13" i="1"/>
  <c r="G13" i="1"/>
  <c r="C14" i="1"/>
  <c r="G14" i="1"/>
  <c r="E14" i="1" s="1"/>
  <c r="C15" i="1"/>
  <c r="G15" i="1"/>
  <c r="E15" i="1" s="1"/>
  <c r="C16" i="1"/>
  <c r="E16" i="1"/>
  <c r="D16" i="1" s="1"/>
  <c r="G16" i="1"/>
  <c r="C17" i="1"/>
  <c r="E17" i="1"/>
  <c r="D17" i="1" s="1"/>
  <c r="F17" i="1"/>
  <c r="G17" i="1"/>
  <c r="C18" i="1"/>
  <c r="G18" i="1"/>
  <c r="E18" i="1" s="1"/>
  <c r="C19" i="1"/>
  <c r="E19" i="1"/>
  <c r="F19" i="1" s="1"/>
  <c r="G19" i="1"/>
  <c r="C20" i="1"/>
  <c r="E20" i="1"/>
  <c r="D20" i="1" s="1"/>
  <c r="F20" i="1"/>
  <c r="G20" i="1"/>
  <c r="C21" i="1"/>
  <c r="G21" i="1"/>
  <c r="C22" i="1"/>
  <c r="G22" i="1"/>
  <c r="E22" i="1" s="1"/>
  <c r="C27" i="1"/>
  <c r="G27" i="1"/>
  <c r="C28" i="1"/>
  <c r="G28" i="1"/>
  <c r="E28" i="1" s="1"/>
  <c r="C29" i="1"/>
  <c r="E29" i="1"/>
  <c r="D29" i="1" s="1"/>
  <c r="F29" i="1"/>
  <c r="G29" i="1"/>
  <c r="C30" i="1"/>
  <c r="E30" i="1"/>
  <c r="F30" i="1" s="1"/>
  <c r="G30" i="1"/>
  <c r="C34" i="1"/>
  <c r="D34" i="1"/>
  <c r="C35" i="1"/>
  <c r="D35" i="1"/>
  <c r="C36" i="1"/>
  <c r="D36" i="1"/>
  <c r="C38" i="1"/>
  <c r="D38" i="1"/>
  <c r="C39" i="1"/>
  <c r="D39" i="1"/>
  <c r="D14" i="1" l="1"/>
  <c r="F14" i="1"/>
  <c r="F10" i="1"/>
  <c r="D10" i="1"/>
  <c r="D28" i="1"/>
  <c r="F28" i="1"/>
  <c r="D22" i="1"/>
  <c r="F22" i="1"/>
  <c r="D15" i="1"/>
  <c r="F15" i="1"/>
  <c r="F18" i="1"/>
  <c r="D18" i="1"/>
  <c r="F5" i="1"/>
  <c r="D5" i="1"/>
  <c r="D7" i="1"/>
  <c r="F7" i="1"/>
  <c r="E27" i="1"/>
  <c r="E21" i="1"/>
  <c r="E13" i="1"/>
  <c r="F16" i="1"/>
  <c r="F8" i="1"/>
  <c r="F4" i="1"/>
  <c r="D30" i="1"/>
  <c r="D19" i="1"/>
  <c r="D11" i="1"/>
  <c r="D13" i="1" l="1"/>
  <c r="F13" i="1"/>
  <c r="F21" i="1"/>
  <c r="D21" i="1"/>
  <c r="F27" i="1"/>
  <c r="D27" i="1"/>
</calcChain>
</file>

<file path=xl/sharedStrings.xml><?xml version="1.0" encoding="utf-8"?>
<sst xmlns="http://schemas.openxmlformats.org/spreadsheetml/2006/main" count="69" uniqueCount="57">
  <si>
    <t>SAS BON A DOM' au capital de 10 000 € - RCS d'Avignon - N° Agrément simple : 853820157 du 12/11/2019</t>
  </si>
  <si>
    <t>Les Menus Services Orange - Tel : 04-90-70-37-06 - Email : orangen@les-menus-services.com - 341 rue d'Aquitaine - 84100 ORANGE</t>
  </si>
  <si>
    <t>La structure exerce son activité en qualité de prestataire.</t>
  </si>
  <si>
    <t>dont le prix total est supérieur ou égal à 100€ TTC ou au consommateur qui lui en fait la demande.</t>
  </si>
  <si>
    <t xml:space="preserve">Le vendeur remet gratuitement un devis personnalisé au consommateur à qui il propose une prestation ou un ensemble de prestation </t>
  </si>
  <si>
    <t>(une intervention ne peut dépasser 2 heures)</t>
  </si>
  <si>
    <r>
      <t>(2)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alibri"/>
        <family val="2"/>
        <scheme val="minor"/>
      </rPr>
      <t xml:space="preserve">Le plafond annuel des dépenses de petit bricolage ouvrant droit à un crédit d’impôt ne peut excéder 500€ </t>
    </r>
  </si>
  <si>
    <t>de repas doit être comprise dans une offre de services incluant un ensemble d’activités réalisées au domicile.</t>
  </si>
  <si>
    <r>
      <t>(1)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alibri"/>
        <family val="2"/>
        <scheme val="minor"/>
      </rPr>
      <t xml:space="preserve">Pour bénéficier du crédit d’impôt lié aux services à la personne prévu à l’article 199 sexdecies du code général des impôts, la livraison </t>
    </r>
  </si>
  <si>
    <r>
      <t>- de 20 000€ si l’un des membres du foyer est titulaire de la carte d’invalidité ou perçoit une pension d’invalidité de 3</t>
    </r>
    <r>
      <rPr>
        <vertAlign val="superscript"/>
        <sz val="7"/>
        <color theme="1"/>
        <rFont val="Calibri"/>
        <family val="2"/>
        <scheme val="minor"/>
      </rPr>
      <t>ème</t>
    </r>
    <r>
      <rPr>
        <sz val="7"/>
        <color theme="1"/>
        <rFont val="Calibri"/>
        <family val="2"/>
        <scheme val="minor"/>
      </rPr>
      <t xml:space="preserve"> catégorie.</t>
    </r>
  </si>
  <si>
    <t>- de 12 000€ par an (majorés de 1500 € par membre du foyer âgé de plus de 65 ans. Le plafond total ne peut pas dépasser 15 000 €</t>
  </si>
  <si>
    <t>à la personne dans la limite :</t>
  </si>
  <si>
    <t xml:space="preserve"> * L’avantage fiscal prend la forme d’un crédit d’impôt sur le revenu égal à 50 % des dépenses engagées pour des prestations de services </t>
  </si>
  <si>
    <t>Téléassistance + détecteur de chute</t>
  </si>
  <si>
    <t>Téléassistance</t>
  </si>
  <si>
    <t>Après crédit 
d'impot* (1)</t>
  </si>
  <si>
    <t>Tarifs publics  HT</t>
  </si>
  <si>
    <t>Tarifs publics  TTC</t>
  </si>
  <si>
    <t>Prestations de services facturées au mois</t>
  </si>
  <si>
    <t>Ménage</t>
  </si>
  <si>
    <t>Assistance administrative</t>
  </si>
  <si>
    <t>Forfait homme toutes mains</t>
  </si>
  <si>
    <t>Prestations de services facturées à l'heure</t>
  </si>
  <si>
    <t>PRESTATIONS DE SERVICES</t>
  </si>
  <si>
    <t>GOURMET formule 7 (midi 5 + entrée ou dessert et garniture soir)</t>
  </si>
  <si>
    <t>GOURMET 5C</t>
  </si>
  <si>
    <t>GOURMET 4C</t>
  </si>
  <si>
    <t>GOURMET 3C</t>
  </si>
  <si>
    <t>Partie repas HT</t>
  </si>
  <si>
    <t xml:space="preserve">Partie repas TTC </t>
  </si>
  <si>
    <t>Partie Service HT</t>
  </si>
  <si>
    <t xml:space="preserve">Partie Service TTC </t>
  </si>
  <si>
    <t>Livraison de repas à domicile (1)</t>
  </si>
  <si>
    <t>PRESTATION GOURMET</t>
  </si>
  <si>
    <t>Pain</t>
  </si>
  <si>
    <t>Plat seul</t>
  </si>
  <si>
    <t>PQS plat</t>
  </si>
  <si>
    <t>PQS dessert</t>
  </si>
  <si>
    <t>Supplement : garniture</t>
  </si>
  <si>
    <t>Supplement : Potage, Hors d'œuvre, laitage, dessert</t>
  </si>
  <si>
    <t>Plat Complet Soir</t>
  </si>
  <si>
    <t>Journée 9 composantes
Déjeuner 5 composantes + Dîner 4 composantes)</t>
  </si>
  <si>
    <t>Journée 8 composantes
(Déjeuner 4 composantes + Dîner 4 composantes)</t>
  </si>
  <si>
    <t>Journée 6 composantes
(déjeuner 3 composantes + Dîner 3 composantes)</t>
  </si>
  <si>
    <t>Formule déjeuner 4 + dîner 3  (7 composantes)
(Déjeuner 4 composantes + Dîner 3 composantes avec plat)</t>
  </si>
  <si>
    <t>Formule déjeuner + dîner léger (7 composantes)
(Déjeuner 5 composantes + Dîner 2 composantes sans plat)</t>
  </si>
  <si>
    <t>Déjeuner 5 composantes
(Entrée, plat, garniture, laitage et dessert)</t>
  </si>
  <si>
    <t>Déjeuner 4 composantes
(Entrée, plat, garniture, laitage ou dessert)</t>
  </si>
  <si>
    <t>Déjeuner 3 composantes
(Plat et garniture + 1 composante au choix : entrée, fromage ou dessert)</t>
  </si>
  <si>
    <t>Déjeuner 2 composantes
(Plat et garniture)</t>
  </si>
  <si>
    <t>Menus du marché 5C</t>
  </si>
  <si>
    <t>Menus du marché 4C</t>
  </si>
  <si>
    <t>Menus du jour 5C</t>
  </si>
  <si>
    <t>Menus du jour 4C</t>
  </si>
  <si>
    <t xml:space="preserve">Partie Repas HT </t>
  </si>
  <si>
    <t xml:space="preserve">                                Livraison de repas à domicile (1)</t>
  </si>
  <si>
    <t>TARIFS AU 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</si>
</sst>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7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b/>
      <sz val="20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078BA"/>
      <name val="Calibri"/>
      <family val="2"/>
      <scheme val="minor"/>
    </font>
    <font>
      <sz val="11"/>
      <color rgb="FFCC009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left" vertical="center" indent="3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left" vertical="center" indent="3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18" xfId="0" applyNumberForma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165" fontId="0" fillId="0" borderId="22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center" vertical="center" wrapText="1"/>
    </xf>
    <xf numFmtId="165" fontId="0" fillId="4" borderId="23" xfId="0" applyNumberForma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165" fontId="0" fillId="5" borderId="4" xfId="0" applyNumberFormat="1" applyFill="1" applyBorder="1" applyAlignment="1">
      <alignment horizontal="center" vertical="center" wrapText="1"/>
    </xf>
    <xf numFmtId="165" fontId="0" fillId="0" borderId="25" xfId="0" applyNumberForma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0" fillId="4" borderId="27" xfId="0" applyFill="1" applyBorder="1" applyAlignment="1">
      <alignment horizontal="center" vertical="center" wrapText="1"/>
    </xf>
    <xf numFmtId="165" fontId="0" fillId="0" borderId="16" xfId="0" applyNumberFormat="1" applyBorder="1" applyAlignment="1">
      <alignment horizontal="center" vertical="center" wrapText="1"/>
    </xf>
    <xf numFmtId="165" fontId="0" fillId="0" borderId="28" xfId="0" applyNumberFormat="1" applyBorder="1" applyAlignment="1">
      <alignment horizontal="center" vertical="center" wrapText="1"/>
    </xf>
    <xf numFmtId="165" fontId="0" fillId="5" borderId="16" xfId="0" applyNumberFormat="1" applyFill="1" applyBorder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165" fontId="0" fillId="4" borderId="27" xfId="0" applyNumberFormat="1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165" fontId="0" fillId="0" borderId="31" xfId="0" applyNumberFormat="1" applyBorder="1" applyAlignment="1">
      <alignment horizontal="center" vertical="center" wrapText="1"/>
    </xf>
    <xf numFmtId="165" fontId="0" fillId="5" borderId="32" xfId="0" applyNumberFormat="1" applyFill="1" applyBorder="1" applyAlignment="1">
      <alignment horizontal="center" vertical="center" wrapText="1"/>
    </xf>
    <xf numFmtId="165" fontId="0" fillId="0" borderId="33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 wrapText="1"/>
    </xf>
    <xf numFmtId="165" fontId="1" fillId="0" borderId="31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 wrapText="1"/>
    </xf>
    <xf numFmtId="165" fontId="0" fillId="0" borderId="23" xfId="0" applyNumberFormat="1" applyBorder="1" applyAlignment="1">
      <alignment horizontal="center" vertical="center" wrapText="1"/>
    </xf>
    <xf numFmtId="165" fontId="0" fillId="0" borderId="40" xfId="0" applyNumberFormat="1" applyBorder="1" applyAlignment="1">
      <alignment horizontal="center" vertical="center" wrapText="1"/>
    </xf>
    <xf numFmtId="165" fontId="0" fillId="0" borderId="41" xfId="0" applyNumberFormat="1" applyBorder="1" applyAlignment="1">
      <alignment horizontal="center" vertical="center" wrapText="1"/>
    </xf>
    <xf numFmtId="165" fontId="0" fillId="0" borderId="42" xfId="0" applyNumberFormat="1" applyBorder="1" applyAlignment="1">
      <alignment horizontal="center" vertical="center" wrapText="1"/>
    </xf>
    <xf numFmtId="165" fontId="1" fillId="0" borderId="41" xfId="0" applyNumberFormat="1" applyFont="1" applyBorder="1" applyAlignment="1">
      <alignment horizontal="center" vertical="center" wrapText="1"/>
    </xf>
    <xf numFmtId="165" fontId="0" fillId="0" borderId="43" xfId="0" applyNumberFormat="1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165" fontId="0" fillId="4" borderId="45" xfId="0" applyNumberFormat="1" applyFill="1" applyBorder="1" applyAlignment="1">
      <alignment horizontal="center" vertical="center" wrapText="1"/>
    </xf>
    <xf numFmtId="165" fontId="0" fillId="4" borderId="46" xfId="0" applyNumberFormat="1" applyFill="1" applyBorder="1" applyAlignment="1">
      <alignment horizontal="center" vertical="center" wrapText="1"/>
    </xf>
    <xf numFmtId="165" fontId="0" fillId="0" borderId="2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165" fontId="0" fillId="0" borderId="47" xfId="0" applyNumberFormat="1" applyBorder="1" applyAlignment="1">
      <alignment horizontal="center" vertical="center" wrapText="1"/>
    </xf>
    <xf numFmtId="165" fontId="0" fillId="0" borderId="48" xfId="0" applyNumberForma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 wrapText="1"/>
    </xf>
    <xf numFmtId="0" fontId="0" fillId="0" borderId="44" xfId="0" applyBorder="1" applyAlignment="1">
      <alignment horizontal="left" vertical="center"/>
    </xf>
    <xf numFmtId="165" fontId="0" fillId="4" borderId="36" xfId="0" applyNumberFormat="1" applyFill="1" applyBorder="1" applyAlignment="1">
      <alignment horizontal="center" vertical="center" wrapText="1"/>
    </xf>
    <xf numFmtId="165" fontId="0" fillId="0" borderId="38" xfId="0" applyNumberFormat="1" applyBorder="1" applyAlignment="1">
      <alignment horizontal="center" vertical="center" wrapText="1"/>
    </xf>
    <xf numFmtId="165" fontId="0" fillId="0" borderId="39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 wrapText="1"/>
    </xf>
    <xf numFmtId="165" fontId="1" fillId="0" borderId="38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165" fontId="0" fillId="4" borderId="49" xfId="0" applyNumberForma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5" fontId="0" fillId="0" borderId="50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5" fontId="1" fillId="5" borderId="19" xfId="0" applyNumberFormat="1" applyFont="1" applyFill="1" applyBorder="1" applyAlignment="1">
      <alignment horizontal="center" vertical="center" wrapText="1"/>
    </xf>
    <xf numFmtId="0" fontId="0" fillId="5" borderId="44" xfId="0" applyFill="1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65" fontId="0" fillId="4" borderId="52" xfId="0" applyNumberFormat="1" applyFill="1" applyBorder="1" applyAlignment="1">
      <alignment horizontal="center" vertical="center" wrapText="1"/>
    </xf>
    <xf numFmtId="165" fontId="0" fillId="0" borderId="32" xfId="0" applyNumberFormat="1" applyBorder="1" applyAlignment="1">
      <alignment horizontal="center" vertical="center" wrapText="1"/>
    </xf>
    <xf numFmtId="165" fontId="0" fillId="0" borderId="52" xfId="0" applyNumberFormat="1" applyBorder="1" applyAlignment="1">
      <alignment horizontal="center" vertical="center" wrapText="1"/>
    </xf>
    <xf numFmtId="165" fontId="1" fillId="0" borderId="32" xfId="0" applyNumberFormat="1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165" fontId="0" fillId="4" borderId="42" xfId="0" applyNumberFormat="1" applyFill="1" applyBorder="1" applyAlignment="1">
      <alignment horizontal="center" vertical="center" wrapText="1"/>
    </xf>
    <xf numFmtId="165" fontId="0" fillId="0" borderId="53" xfId="0" applyNumberFormat="1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165" fontId="0" fillId="4" borderId="30" xfId="0" applyNumberFormat="1" applyFill="1" applyBorder="1" applyAlignment="1">
      <alignment horizontal="center" vertical="center" wrapText="1"/>
    </xf>
    <xf numFmtId="165" fontId="0" fillId="0" borderId="30" xfId="0" applyNumberForma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285750</xdr:rowOff>
    </xdr:from>
    <xdr:ext cx="1016000" cy="1016000"/>
    <xdr:pic>
      <xdr:nvPicPr>
        <xdr:cNvPr id="2" name="Image 1">
          <a:extLst>
            <a:ext uri="{FF2B5EF4-FFF2-40B4-BE49-F238E27FC236}">
              <a16:creationId xmlns:a16="http://schemas.microsoft.com/office/drawing/2014/main" id="{6FCB123B-4C7E-44FC-81AB-C63E237D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90500"/>
          <a:ext cx="1016000" cy="1016000"/>
        </a:xfrm>
        <a:prstGeom prst="rect">
          <a:avLst/>
        </a:prstGeom>
      </xdr:spPr>
    </xdr:pic>
    <xdr:clientData/>
  </xdr:oneCellAnchor>
  <xdr:oneCellAnchor>
    <xdr:from>
      <xdr:col>4</xdr:col>
      <xdr:colOff>635000</xdr:colOff>
      <xdr:row>0</xdr:row>
      <xdr:rowOff>34925</xdr:rowOff>
    </xdr:from>
    <xdr:ext cx="809625" cy="634365"/>
    <xdr:pic>
      <xdr:nvPicPr>
        <xdr:cNvPr id="3" name="Image 2">
          <a:extLst>
            <a:ext uri="{FF2B5EF4-FFF2-40B4-BE49-F238E27FC236}">
              <a16:creationId xmlns:a16="http://schemas.microsoft.com/office/drawing/2014/main" id="{C2EFADAC-4511-48FD-9F70-EC2ADB1AB0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34925"/>
          <a:ext cx="809625" cy="6343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6EFE-2948-4BD3-A6B9-C6D8234BB0C0}">
  <sheetPr>
    <pageSetUpPr fitToPage="1"/>
  </sheetPr>
  <dimension ref="A1:O52"/>
  <sheetViews>
    <sheetView tabSelected="1" zoomScaleNormal="100" zoomScaleSheetLayoutView="70" workbookViewId="0">
      <selection activeCell="J11" sqref="J11"/>
    </sheetView>
  </sheetViews>
  <sheetFormatPr baseColWidth="10" defaultColWidth="11.42578125" defaultRowHeight="15" x14ac:dyDescent="0.25"/>
  <cols>
    <col min="1" max="1" width="55" style="1" customWidth="1"/>
    <col min="2" max="3" width="12.85546875" style="1" customWidth="1"/>
    <col min="4" max="4" width="11.42578125" style="1" customWidth="1"/>
    <col min="5" max="6" width="11.42578125" style="1"/>
    <col min="7" max="7" width="11.42578125" style="1" customWidth="1"/>
    <col min="8" max="8" width="11.42578125" style="1"/>
    <col min="9" max="12" width="11.42578125" style="1" customWidth="1"/>
    <col min="13" max="13" width="11.42578125" style="1"/>
    <col min="14" max="14" width="11.42578125" style="3"/>
    <col min="15" max="15" width="14.42578125" style="2" customWidth="1"/>
    <col min="16" max="16384" width="11.42578125" style="1"/>
  </cols>
  <sheetData>
    <row r="1" spans="1:15" ht="26.25" x14ac:dyDescent="0.25">
      <c r="E1" s="115"/>
      <c r="F1" s="115"/>
      <c r="G1" s="115"/>
      <c r="H1" s="115"/>
      <c r="I1" s="115"/>
      <c r="J1" s="115"/>
    </row>
    <row r="2" spans="1:15" ht="27" thickBot="1" x14ac:dyDescent="0.3">
      <c r="B2" s="115" t="s">
        <v>56</v>
      </c>
      <c r="C2" s="115"/>
    </row>
    <row r="3" spans="1:15" ht="54" customHeight="1" thickBot="1" x14ac:dyDescent="0.3">
      <c r="A3" s="36" t="s">
        <v>55</v>
      </c>
      <c r="B3" s="65" t="s">
        <v>17</v>
      </c>
      <c r="C3" s="62" t="s">
        <v>16</v>
      </c>
      <c r="D3" s="66" t="s">
        <v>15</v>
      </c>
      <c r="E3" s="65" t="s">
        <v>31</v>
      </c>
      <c r="F3" s="64" t="s">
        <v>30</v>
      </c>
      <c r="G3" s="65" t="s">
        <v>29</v>
      </c>
      <c r="H3" s="62" t="s">
        <v>54</v>
      </c>
      <c r="M3" s="9"/>
      <c r="O3" s="41"/>
    </row>
    <row r="4" spans="1:15" x14ac:dyDescent="0.25">
      <c r="A4" s="114" t="s">
        <v>53</v>
      </c>
      <c r="B4" s="60">
        <v>11.8</v>
      </c>
      <c r="C4" s="113">
        <f>B4/(1+(10/100))</f>
        <v>10.727272727272727</v>
      </c>
      <c r="D4" s="58">
        <f>(E4/2)+G4</f>
        <v>9.0130000000000017</v>
      </c>
      <c r="E4" s="104">
        <f>B4-G4</f>
        <v>5.5739999999999998</v>
      </c>
      <c r="F4" s="59">
        <f>E4/(1+(10/100))</f>
        <v>5.0672727272727265</v>
      </c>
      <c r="G4" s="56">
        <f>H4*1.1</f>
        <v>6.2260000000000009</v>
      </c>
      <c r="H4" s="112">
        <v>5.66</v>
      </c>
      <c r="I4" s="35"/>
      <c r="M4" s="9"/>
      <c r="N4" s="8"/>
      <c r="O4" s="6"/>
    </row>
    <row r="5" spans="1:15" ht="15.75" thickBot="1" x14ac:dyDescent="0.3">
      <c r="A5" s="111" t="s">
        <v>52</v>
      </c>
      <c r="B5" s="74">
        <v>13.5</v>
      </c>
      <c r="C5" s="73">
        <f>B5/(1+(10/100))</f>
        <v>12.272727272727272</v>
      </c>
      <c r="D5" s="110">
        <f>(E5/2)+G5</f>
        <v>10.170999999999999</v>
      </c>
      <c r="E5" s="75">
        <f>B5-G5</f>
        <v>6.6579999999999995</v>
      </c>
      <c r="F5" s="109">
        <f>E5/(1+(10/100))</f>
        <v>6.0527272727272718</v>
      </c>
      <c r="G5" s="72">
        <f>H5*1.1</f>
        <v>6.8420000000000005</v>
      </c>
      <c r="H5" s="108">
        <v>6.22</v>
      </c>
      <c r="I5" s="35"/>
      <c r="M5" s="9"/>
      <c r="N5" s="8"/>
      <c r="O5" s="6"/>
    </row>
    <row r="6" spans="1:15" x14ac:dyDescent="0.25">
      <c r="A6" s="107" t="s">
        <v>51</v>
      </c>
      <c r="B6" s="106">
        <v>12.8</v>
      </c>
      <c r="C6" s="105">
        <f>B6/(1+(10/100))</f>
        <v>11.636363636363637</v>
      </c>
      <c r="D6" s="68">
        <f>(E6/2)+G6</f>
        <v>9.6120000000000001</v>
      </c>
      <c r="E6" s="56">
        <f>B6-G6</f>
        <v>6.3760000000000003</v>
      </c>
      <c r="F6" s="82">
        <f>E6/(1+(10/100))</f>
        <v>5.7963636363636359</v>
      </c>
      <c r="G6" s="104">
        <f>H6*1.1</f>
        <v>6.4240000000000004</v>
      </c>
      <c r="H6" s="103">
        <v>5.84</v>
      </c>
      <c r="I6" s="35"/>
      <c r="M6" s="9"/>
      <c r="N6" s="8"/>
      <c r="O6" s="6"/>
    </row>
    <row r="7" spans="1:15" ht="15.75" thickBot="1" x14ac:dyDescent="0.3">
      <c r="A7" s="102" t="s">
        <v>50</v>
      </c>
      <c r="B7" s="15">
        <v>13.8</v>
      </c>
      <c r="C7" s="70">
        <f>B7/(1+(10/100))</f>
        <v>12.545454545454545</v>
      </c>
      <c r="D7" s="46">
        <f>(E7/2)+G7</f>
        <v>10.458500000000001</v>
      </c>
      <c r="E7" s="43">
        <f>B7-G7</f>
        <v>6.6830000000000007</v>
      </c>
      <c r="F7" s="44">
        <f>E7/(1+(10/100))</f>
        <v>6.0754545454545452</v>
      </c>
      <c r="G7" s="43">
        <f>H7*1.1</f>
        <v>7.117</v>
      </c>
      <c r="H7" s="42">
        <v>6.47</v>
      </c>
      <c r="I7" s="35"/>
      <c r="M7" s="9"/>
      <c r="N7" s="8"/>
      <c r="O7" s="6"/>
    </row>
    <row r="8" spans="1:15" ht="30" x14ac:dyDescent="0.25">
      <c r="A8" s="96" t="s">
        <v>49</v>
      </c>
      <c r="B8" s="33">
        <v>12.5</v>
      </c>
      <c r="C8" s="84">
        <f>B8/(1+(10/100))</f>
        <v>11.363636363636363</v>
      </c>
      <c r="D8" s="83">
        <f>(E8/2)+G8</f>
        <v>8.7690000000000001</v>
      </c>
      <c r="E8" s="76">
        <f>B8-G8</f>
        <v>7.4619999999999997</v>
      </c>
      <c r="F8" s="59">
        <f>E8/(1+(10/100))</f>
        <v>6.7836363636363632</v>
      </c>
      <c r="G8" s="76">
        <f>H8*1.1</f>
        <v>5.0380000000000003</v>
      </c>
      <c r="H8" s="79">
        <v>4.58</v>
      </c>
      <c r="I8" s="35"/>
      <c r="M8" s="9"/>
      <c r="N8" s="8"/>
      <c r="O8" s="6"/>
    </row>
    <row r="9" spans="1:15" ht="45" x14ac:dyDescent="0.25">
      <c r="A9" s="100" t="s">
        <v>48</v>
      </c>
      <c r="B9" s="33">
        <v>13.6</v>
      </c>
      <c r="C9" s="80">
        <f>B9/(1+(10/100))</f>
        <v>12.363636363636362</v>
      </c>
      <c r="D9" s="52">
        <f>(E9/2)+G9</f>
        <v>9.77</v>
      </c>
      <c r="E9" s="49">
        <f>B9-G9</f>
        <v>7.6599999999999984</v>
      </c>
      <c r="F9" s="50">
        <f>E9/(1+(10/100))</f>
        <v>6.9636363636363612</v>
      </c>
      <c r="G9" s="76">
        <f>H9*1.1</f>
        <v>5.9400000000000013</v>
      </c>
      <c r="H9" s="79">
        <v>5.4</v>
      </c>
      <c r="I9" s="35"/>
      <c r="M9" s="9"/>
      <c r="N9" s="8"/>
      <c r="O9" s="6"/>
    </row>
    <row r="10" spans="1:15" ht="40.5" customHeight="1" x14ac:dyDescent="0.25">
      <c r="A10" s="101" t="s">
        <v>47</v>
      </c>
      <c r="B10" s="33">
        <v>14.9</v>
      </c>
      <c r="C10" s="80">
        <f>B10/(1+(10/100))</f>
        <v>13.545454545454545</v>
      </c>
      <c r="D10" s="52">
        <f>(E10/2)+G10</f>
        <v>10.8325</v>
      </c>
      <c r="E10" s="49">
        <f>B10-G10</f>
        <v>8.1349999999999998</v>
      </c>
      <c r="F10" s="50">
        <f>E10/(1+(10/100))</f>
        <v>7.3954545454545446</v>
      </c>
      <c r="G10" s="76">
        <f>H10*1.1</f>
        <v>6.7650000000000006</v>
      </c>
      <c r="H10" s="79">
        <v>6.15</v>
      </c>
      <c r="I10" s="35"/>
      <c r="M10" s="9"/>
      <c r="N10" s="8"/>
      <c r="O10" s="6"/>
    </row>
    <row r="11" spans="1:15" ht="40.5" customHeight="1" x14ac:dyDescent="0.25">
      <c r="A11" s="100" t="s">
        <v>46</v>
      </c>
      <c r="B11" s="33">
        <v>15.9</v>
      </c>
      <c r="C11" s="80">
        <f>B11/(1+(10/100))</f>
        <v>14.454545454545453</v>
      </c>
      <c r="D11" s="52">
        <f>(E11/2)+G11</f>
        <v>11.701000000000001</v>
      </c>
      <c r="E11" s="49">
        <f>B11-G11</f>
        <v>8.3979999999999997</v>
      </c>
      <c r="F11" s="50">
        <f>E11/(1+(10/100))</f>
        <v>7.6345454545454539</v>
      </c>
      <c r="G11" s="76">
        <f>H11*1.1</f>
        <v>7.5020000000000007</v>
      </c>
      <c r="H11" s="79">
        <v>6.82</v>
      </c>
      <c r="I11" s="35"/>
      <c r="M11" s="9"/>
      <c r="N11" s="8"/>
      <c r="O11" s="6"/>
    </row>
    <row r="12" spans="1:15" ht="39" customHeight="1" x14ac:dyDescent="0.25">
      <c r="A12" s="99" t="s">
        <v>45</v>
      </c>
      <c r="B12" s="33">
        <v>19.899999999999999</v>
      </c>
      <c r="C12" s="80">
        <f>B12/(1+(10/100))</f>
        <v>18.090909090909086</v>
      </c>
      <c r="D12" s="52">
        <f>(E12/2)+G12</f>
        <v>14.713000000000001</v>
      </c>
      <c r="E12" s="49">
        <f>B12-G12</f>
        <v>10.373999999999997</v>
      </c>
      <c r="F12" s="50">
        <f>E12/(1+(10/100))</f>
        <v>9.430909090909088</v>
      </c>
      <c r="G12" s="76">
        <f>H12*1.1</f>
        <v>9.5260000000000016</v>
      </c>
      <c r="H12" s="79">
        <v>8.66</v>
      </c>
      <c r="I12" s="35"/>
      <c r="J12" s="35"/>
      <c r="M12" s="9"/>
      <c r="N12" s="8"/>
      <c r="O12" s="6"/>
    </row>
    <row r="13" spans="1:15" ht="43.5" customHeight="1" x14ac:dyDescent="0.25">
      <c r="A13" s="99" t="s">
        <v>44</v>
      </c>
      <c r="B13" s="33">
        <v>24.6</v>
      </c>
      <c r="C13" s="80">
        <f>B13/(1+(10/100))</f>
        <v>22.363636363636363</v>
      </c>
      <c r="D13" s="52">
        <f>(E13/2)+G13</f>
        <v>18.652500000000003</v>
      </c>
      <c r="E13" s="49">
        <f>B13-G13</f>
        <v>11.895</v>
      </c>
      <c r="F13" s="50">
        <f>E13/(1+(10/100))</f>
        <v>10.813636363636363</v>
      </c>
      <c r="G13" s="76">
        <f>H13*1.1</f>
        <v>12.705000000000002</v>
      </c>
      <c r="H13" s="79">
        <v>11.55</v>
      </c>
      <c r="I13" s="35"/>
      <c r="J13" s="35"/>
      <c r="M13" s="9"/>
      <c r="N13" s="8"/>
      <c r="O13" s="6"/>
    </row>
    <row r="14" spans="1:15" ht="43.5" customHeight="1" x14ac:dyDescent="0.25">
      <c r="A14" s="99" t="s">
        <v>43</v>
      </c>
      <c r="B14" s="33">
        <v>23.4</v>
      </c>
      <c r="C14" s="80">
        <f>B14/(1+(10/100))</f>
        <v>21.27272727272727</v>
      </c>
      <c r="D14" s="52">
        <f>(E14/2)+G14</f>
        <v>17.64</v>
      </c>
      <c r="E14" s="49">
        <f>B14-G14</f>
        <v>11.519999999999996</v>
      </c>
      <c r="F14" s="50">
        <f>E14/(1+(10/100))</f>
        <v>10.472727272727269</v>
      </c>
      <c r="G14" s="76">
        <f>H14*1.1</f>
        <v>11.880000000000003</v>
      </c>
      <c r="H14" s="79">
        <v>10.8</v>
      </c>
      <c r="I14" s="35"/>
      <c r="J14" s="35"/>
      <c r="M14" s="9"/>
      <c r="N14" s="8"/>
      <c r="O14" s="6"/>
    </row>
    <row r="15" spans="1:15" ht="30" x14ac:dyDescent="0.25">
      <c r="A15" s="98" t="s">
        <v>42</v>
      </c>
      <c r="B15" s="97">
        <v>26.5</v>
      </c>
      <c r="C15" s="80">
        <f>B15/(1+(10/100))</f>
        <v>24.09090909090909</v>
      </c>
      <c r="D15" s="52">
        <f>(E15/2)+G15</f>
        <v>20.015000000000001</v>
      </c>
      <c r="E15" s="49">
        <f>B15-G15</f>
        <v>12.969999999999999</v>
      </c>
      <c r="F15" s="50">
        <f>E15/(1+(10/100))</f>
        <v>11.790909090909089</v>
      </c>
      <c r="G15" s="76">
        <f>H15*1.1</f>
        <v>13.530000000000001</v>
      </c>
      <c r="H15" s="79">
        <v>12.3</v>
      </c>
      <c r="I15" s="35"/>
      <c r="J15" s="35"/>
      <c r="M15" s="9"/>
      <c r="N15" s="8"/>
      <c r="O15" s="6"/>
    </row>
    <row r="16" spans="1:15" ht="45.75" customHeight="1" thickBot="1" x14ac:dyDescent="0.3">
      <c r="A16" s="96" t="s">
        <v>41</v>
      </c>
      <c r="B16" s="19">
        <v>27.3</v>
      </c>
      <c r="C16" s="95">
        <f>B16/(1+(10/100))</f>
        <v>24.818181818181817</v>
      </c>
      <c r="D16" s="94">
        <f>(E16/2)+G16</f>
        <v>20.7395</v>
      </c>
      <c r="E16" s="75">
        <f>B16-G16</f>
        <v>13.120999999999999</v>
      </c>
      <c r="F16" s="44">
        <f>E16/(1+(10/100))</f>
        <v>11.928181818181816</v>
      </c>
      <c r="G16" s="93">
        <f>H16*1.1</f>
        <v>14.179000000000002</v>
      </c>
      <c r="H16" s="92">
        <v>12.89</v>
      </c>
      <c r="I16" s="35"/>
      <c r="J16" s="35"/>
      <c r="M16" s="9"/>
      <c r="N16" s="8"/>
      <c r="O16" s="6"/>
    </row>
    <row r="17" spans="1:15" ht="15" customHeight="1" thickBot="1" x14ac:dyDescent="0.3">
      <c r="A17" s="91" t="s">
        <v>40</v>
      </c>
      <c r="B17" s="90">
        <v>5.6</v>
      </c>
      <c r="C17" s="89">
        <f>B17/(1+(10/100))</f>
        <v>5.0909090909090899</v>
      </c>
      <c r="D17" s="88">
        <f>(E17/2)+G17</f>
        <v>3.9550000000000001</v>
      </c>
      <c r="E17" s="87">
        <f>B17-G17</f>
        <v>3.2899999999999991</v>
      </c>
      <c r="F17" s="59">
        <f>E17/(1+(10/100))</f>
        <v>2.9909090909090899</v>
      </c>
      <c r="G17" s="87">
        <f>H17*1.1</f>
        <v>2.3100000000000005</v>
      </c>
      <c r="H17" s="86">
        <v>2.1</v>
      </c>
      <c r="I17" s="35"/>
      <c r="J17" s="35"/>
      <c r="M17" s="9"/>
      <c r="N17" s="8"/>
      <c r="O17" s="6"/>
    </row>
    <row r="18" spans="1:15" x14ac:dyDescent="0.25">
      <c r="A18" s="85" t="s">
        <v>39</v>
      </c>
      <c r="B18" s="33">
        <v>2.2999999999999998</v>
      </c>
      <c r="C18" s="84">
        <f>B18/(1+(10/100))</f>
        <v>2.0909090909090904</v>
      </c>
      <c r="D18" s="83">
        <f>(E18/2)+G18</f>
        <v>1.601</v>
      </c>
      <c r="E18" s="76">
        <f>B18-G18</f>
        <v>1.3979999999999997</v>
      </c>
      <c r="F18" s="82">
        <f>E18/(1+(10/100))</f>
        <v>1.2709090909090905</v>
      </c>
      <c r="G18" s="76">
        <f>H18*1.1</f>
        <v>0.90200000000000002</v>
      </c>
      <c r="H18" s="79">
        <v>0.82</v>
      </c>
      <c r="I18" s="35"/>
      <c r="J18" s="35"/>
      <c r="M18" s="9"/>
      <c r="N18" s="8"/>
      <c r="O18" s="6"/>
    </row>
    <row r="19" spans="1:15" x14ac:dyDescent="0.25">
      <c r="A19" s="81" t="s">
        <v>38</v>
      </c>
      <c r="B19" s="33">
        <v>2.6</v>
      </c>
      <c r="C19" s="80">
        <f>B19/(1+(10/100))</f>
        <v>2.3636363636363633</v>
      </c>
      <c r="D19" s="52">
        <f>(E19/2)+G19</f>
        <v>1.8610000000000002</v>
      </c>
      <c r="E19" s="49">
        <f>B19-G19</f>
        <v>1.478</v>
      </c>
      <c r="F19" s="50">
        <f>E19/(1+(10/100))</f>
        <v>1.3436363636363635</v>
      </c>
      <c r="G19" s="76">
        <f>H19*1.1</f>
        <v>1.1220000000000001</v>
      </c>
      <c r="H19" s="79">
        <v>1.02</v>
      </c>
      <c r="I19" s="35"/>
      <c r="J19" s="35"/>
      <c r="M19" s="9"/>
      <c r="N19" s="8"/>
      <c r="O19" s="6"/>
    </row>
    <row r="20" spans="1:15" x14ac:dyDescent="0.25">
      <c r="A20" s="30" t="s">
        <v>37</v>
      </c>
      <c r="B20" s="33">
        <v>2.5</v>
      </c>
      <c r="C20" s="50">
        <f>B20/(1+(10/100))</f>
        <v>2.2727272727272725</v>
      </c>
      <c r="D20" s="52">
        <f>(E20/2)+G20</f>
        <v>2.2069999999999999</v>
      </c>
      <c r="E20" s="49">
        <f>B20-G20</f>
        <v>0.58599999999999985</v>
      </c>
      <c r="F20" s="50">
        <f>E20/(1+(10/100))</f>
        <v>0.5327272727272726</v>
      </c>
      <c r="G20" s="49">
        <f>H20*1.1</f>
        <v>1.9140000000000001</v>
      </c>
      <c r="H20" s="78">
        <v>1.74</v>
      </c>
      <c r="I20" s="35"/>
      <c r="J20" s="35"/>
      <c r="M20" s="9"/>
      <c r="N20" s="8"/>
      <c r="O20" s="6"/>
    </row>
    <row r="21" spans="1:15" x14ac:dyDescent="0.25">
      <c r="A21" s="30" t="s">
        <v>36</v>
      </c>
      <c r="B21" s="33">
        <v>2.5</v>
      </c>
      <c r="C21" s="50">
        <f>B21/(1+(10/100))</f>
        <v>2.2727272727272725</v>
      </c>
      <c r="D21" s="52">
        <f>(E21/2)+G21</f>
        <v>1.9430000000000001</v>
      </c>
      <c r="E21" s="49">
        <f>B21-G21</f>
        <v>1.1139999999999999</v>
      </c>
      <c r="F21" s="50">
        <f>E21/(1+(10/100))</f>
        <v>1.0127272727272725</v>
      </c>
      <c r="G21" s="49">
        <f>H21*1.1</f>
        <v>1.3860000000000001</v>
      </c>
      <c r="H21" s="54">
        <v>1.26</v>
      </c>
      <c r="I21" s="35"/>
      <c r="J21" s="35"/>
      <c r="M21" s="9"/>
      <c r="N21" s="8"/>
      <c r="O21" s="6"/>
    </row>
    <row r="22" spans="1:15" x14ac:dyDescent="0.25">
      <c r="A22" s="77" t="s">
        <v>35</v>
      </c>
      <c r="B22" s="33">
        <v>5.0999999999999996</v>
      </c>
      <c r="C22" s="50">
        <f>B22/(1+(10/100))</f>
        <v>4.6363636363636358</v>
      </c>
      <c r="D22" s="52">
        <f>(E22/2)+G22</f>
        <v>4.508</v>
      </c>
      <c r="E22" s="76">
        <f>B22-G22</f>
        <v>1.1839999999999993</v>
      </c>
      <c r="F22" s="50">
        <f>E22/(1+(10/100))</f>
        <v>1.0763636363636355</v>
      </c>
      <c r="G22" s="75">
        <f>H22*1.1</f>
        <v>3.9160000000000004</v>
      </c>
      <c r="H22" s="54">
        <v>3.56</v>
      </c>
      <c r="I22" s="35"/>
      <c r="J22" s="35"/>
      <c r="M22" s="9"/>
      <c r="N22" s="8"/>
      <c r="O22" s="6"/>
    </row>
    <row r="23" spans="1:15" ht="15.75" thickBot="1" x14ac:dyDescent="0.3">
      <c r="A23" s="16" t="s">
        <v>34</v>
      </c>
      <c r="B23" s="74">
        <v>0.25</v>
      </c>
      <c r="C23" s="73">
        <v>0.25</v>
      </c>
      <c r="D23" s="11"/>
      <c r="E23" s="72"/>
      <c r="F23" s="71"/>
      <c r="G23" s="43">
        <v>0.25</v>
      </c>
      <c r="H23" s="70">
        <v>0.25</v>
      </c>
      <c r="I23" s="35"/>
      <c r="J23" s="35"/>
      <c r="M23" s="9"/>
      <c r="N23" s="8"/>
      <c r="O23" s="6"/>
    </row>
    <row r="24" spans="1:15" x14ac:dyDescent="0.25">
      <c r="B24" s="69"/>
      <c r="C24" s="39"/>
      <c r="D24" s="68"/>
      <c r="E24" s="39"/>
      <c r="F24" s="39"/>
      <c r="G24" s="68"/>
      <c r="H24" s="10"/>
      <c r="M24" s="9"/>
      <c r="N24" s="8"/>
      <c r="O24" s="6"/>
    </row>
    <row r="25" spans="1:15" ht="27" thickBot="1" x14ac:dyDescent="0.45">
      <c r="A25" s="38" t="s">
        <v>33</v>
      </c>
      <c r="B25" s="38"/>
      <c r="C25" s="38"/>
      <c r="D25" s="38"/>
      <c r="E25" s="38"/>
      <c r="F25" s="38"/>
      <c r="G25" s="38"/>
      <c r="H25"/>
      <c r="I25"/>
      <c r="M25" s="9"/>
      <c r="N25" s="8"/>
      <c r="O25" s="6"/>
    </row>
    <row r="26" spans="1:15" ht="60.75" thickBot="1" x14ac:dyDescent="0.3">
      <c r="A26" s="67" t="s">
        <v>32</v>
      </c>
      <c r="B26" s="65" t="s">
        <v>17</v>
      </c>
      <c r="C26" s="62" t="s">
        <v>16</v>
      </c>
      <c r="D26" s="66" t="s">
        <v>15</v>
      </c>
      <c r="E26" s="65" t="s">
        <v>31</v>
      </c>
      <c r="F26" s="64" t="s">
        <v>30</v>
      </c>
      <c r="G26" s="63" t="s">
        <v>29</v>
      </c>
      <c r="H26" s="62" t="s">
        <v>28</v>
      </c>
      <c r="M26" s="9"/>
      <c r="N26" s="8"/>
      <c r="O26" s="6"/>
    </row>
    <row r="27" spans="1:15" x14ac:dyDescent="0.25">
      <c r="A27" s="61" t="s">
        <v>27</v>
      </c>
      <c r="B27" s="60">
        <v>18.8</v>
      </c>
      <c r="C27" s="59">
        <f>B27/(1+(10/100))</f>
        <v>17.09090909090909</v>
      </c>
      <c r="D27" s="58">
        <f>(E27/2)+G27</f>
        <v>14.108000000000001</v>
      </c>
      <c r="E27" s="57">
        <f>B27-G27</f>
        <v>9.3839999999999986</v>
      </c>
      <c r="F27" s="50">
        <f>E27/(1+(10/100))</f>
        <v>8.5309090909090894</v>
      </c>
      <c r="G27" s="56">
        <f>H27*1.1</f>
        <v>9.4160000000000021</v>
      </c>
      <c r="H27" s="55">
        <v>8.56</v>
      </c>
      <c r="M27" s="9"/>
      <c r="N27" s="8"/>
      <c r="O27" s="41"/>
    </row>
    <row r="28" spans="1:15" x14ac:dyDescent="0.25">
      <c r="A28" s="53" t="s">
        <v>26</v>
      </c>
      <c r="B28" s="29">
        <v>21.1</v>
      </c>
      <c r="C28" s="50">
        <f>B28/(1+(10/100))</f>
        <v>19.18181818181818</v>
      </c>
      <c r="D28" s="52">
        <f>(E28/2)+G28</f>
        <v>16.193000000000001</v>
      </c>
      <c r="E28" s="51">
        <f>B28-G28</f>
        <v>9.8140000000000001</v>
      </c>
      <c r="F28" s="50">
        <f>E28/(1+(10/100))</f>
        <v>8.9218181818181819</v>
      </c>
      <c r="G28" s="49">
        <f>H28*1.1</f>
        <v>11.286000000000001</v>
      </c>
      <c r="H28" s="54">
        <v>10.26</v>
      </c>
      <c r="M28" s="9"/>
      <c r="N28" s="8"/>
      <c r="O28" s="41"/>
    </row>
    <row r="29" spans="1:15" x14ac:dyDescent="0.25">
      <c r="A29" s="53" t="s">
        <v>25</v>
      </c>
      <c r="B29" s="29">
        <v>22.6</v>
      </c>
      <c r="C29" s="50">
        <f>B29/(1+(10/100))</f>
        <v>20.545454545454547</v>
      </c>
      <c r="D29" s="52">
        <f>(E29/2)+G29</f>
        <v>17.8065</v>
      </c>
      <c r="E29" s="51">
        <f>B29-G29</f>
        <v>9.5869999999999997</v>
      </c>
      <c r="F29" s="50">
        <f>E29/(1+(10/100))</f>
        <v>8.7154545454545449</v>
      </c>
      <c r="G29" s="49">
        <f>H29*1.1</f>
        <v>13.013000000000002</v>
      </c>
      <c r="H29" s="48">
        <v>11.83</v>
      </c>
      <c r="M29" s="9"/>
      <c r="N29" s="8"/>
      <c r="O29" s="41"/>
    </row>
    <row r="30" spans="1:15" ht="30.75" thickBot="1" x14ac:dyDescent="0.3">
      <c r="A30" s="47" t="s">
        <v>24</v>
      </c>
      <c r="B30" s="15">
        <v>27.5</v>
      </c>
      <c r="C30" s="44">
        <f>B30/(1+(10/100))</f>
        <v>24.999999999999996</v>
      </c>
      <c r="D30" s="46">
        <f>(E30/2)+G30</f>
        <v>22.4345</v>
      </c>
      <c r="E30" s="45">
        <f>B30-G30</f>
        <v>10.131</v>
      </c>
      <c r="F30" s="44">
        <f>E30/(1+(10/100))</f>
        <v>9.2099999999999991</v>
      </c>
      <c r="G30" s="43">
        <f>H30*1.1</f>
        <v>17.369</v>
      </c>
      <c r="H30" s="42">
        <v>15.79</v>
      </c>
      <c r="M30" s="9"/>
      <c r="N30" s="8"/>
      <c r="O30" s="41"/>
    </row>
    <row r="31" spans="1:15" x14ac:dyDescent="0.25">
      <c r="A31" s="40"/>
      <c r="B31" s="10"/>
      <c r="C31" s="10"/>
      <c r="D31" s="11"/>
      <c r="E31" s="10"/>
      <c r="F31" s="10"/>
      <c r="G31" s="10"/>
      <c r="H31" s="39"/>
      <c r="M31" s="9"/>
      <c r="N31" s="8"/>
      <c r="O31" s="6"/>
    </row>
    <row r="32" spans="1:15" ht="27" thickBot="1" x14ac:dyDescent="0.45">
      <c r="A32" s="38" t="s">
        <v>23</v>
      </c>
      <c r="B32" s="38"/>
      <c r="C32" s="38"/>
      <c r="D32" s="38"/>
      <c r="E32" s="37"/>
      <c r="F32" s="37"/>
      <c r="G32" s="37"/>
      <c r="H32" s="10"/>
      <c r="M32" s="9"/>
      <c r="N32" s="8"/>
      <c r="O32" s="6"/>
    </row>
    <row r="33" spans="1:15" ht="45" customHeight="1" thickBot="1" x14ac:dyDescent="0.3">
      <c r="A33" s="36" t="s">
        <v>22</v>
      </c>
      <c r="B33" s="25" t="s">
        <v>17</v>
      </c>
      <c r="C33" s="24" t="s">
        <v>16</v>
      </c>
      <c r="D33" s="23" t="s">
        <v>15</v>
      </c>
      <c r="E33" s="22"/>
      <c r="F33" s="21"/>
      <c r="G33" s="21"/>
      <c r="H33" s="21"/>
      <c r="I33" s="35"/>
      <c r="J33" s="35"/>
      <c r="M33" s="9"/>
      <c r="N33" s="8"/>
      <c r="O33" s="6"/>
    </row>
    <row r="34" spans="1:15" ht="33" customHeight="1" x14ac:dyDescent="0.25">
      <c r="A34" s="34" t="s">
        <v>21</v>
      </c>
      <c r="B34" s="33">
        <v>30</v>
      </c>
      <c r="C34" s="28">
        <f>B34/(1+(20/100))</f>
        <v>25</v>
      </c>
      <c r="D34" s="32">
        <f>B34/2</f>
        <v>15</v>
      </c>
      <c r="E34" s="12"/>
      <c r="F34" s="10"/>
      <c r="G34" s="11"/>
      <c r="H34" s="10"/>
      <c r="K34" s="31"/>
      <c r="L34" s="31"/>
      <c r="M34" s="9"/>
      <c r="N34" s="8"/>
      <c r="O34" s="6"/>
    </row>
    <row r="35" spans="1:15" ht="39" customHeight="1" x14ac:dyDescent="0.25">
      <c r="A35" s="30" t="s">
        <v>20</v>
      </c>
      <c r="B35" s="29">
        <v>30</v>
      </c>
      <c r="C35" s="28">
        <f>B35/(1+(20/100))</f>
        <v>25</v>
      </c>
      <c r="D35" s="27">
        <f>B35/2</f>
        <v>15</v>
      </c>
      <c r="E35" s="12"/>
      <c r="F35" s="10"/>
      <c r="G35" s="11"/>
      <c r="H35" s="10"/>
      <c r="M35" s="9"/>
      <c r="N35" s="8"/>
      <c r="O35" s="6"/>
    </row>
    <row r="36" spans="1:15" ht="39" customHeight="1" thickBot="1" x14ac:dyDescent="0.3">
      <c r="A36" s="20" t="s">
        <v>19</v>
      </c>
      <c r="B36" s="29">
        <v>30</v>
      </c>
      <c r="C36" s="28">
        <f>B36/(1+(20/100))</f>
        <v>25</v>
      </c>
      <c r="D36" s="27">
        <f>B36/2</f>
        <v>15</v>
      </c>
      <c r="E36" s="12"/>
      <c r="F36" s="10"/>
      <c r="G36" s="11"/>
      <c r="H36" s="10"/>
      <c r="M36" s="9"/>
      <c r="N36" s="8"/>
      <c r="O36" s="6"/>
    </row>
    <row r="37" spans="1:15" ht="48" customHeight="1" thickBot="1" x14ac:dyDescent="0.3">
      <c r="A37" s="26" t="s">
        <v>18</v>
      </c>
      <c r="B37" s="25" t="s">
        <v>17</v>
      </c>
      <c r="C37" s="24" t="s">
        <v>16</v>
      </c>
      <c r="D37" s="23" t="s">
        <v>15</v>
      </c>
      <c r="E37" s="22"/>
      <c r="F37" s="21"/>
      <c r="G37" s="21"/>
      <c r="H37" s="21"/>
      <c r="M37" s="9"/>
      <c r="N37" s="8"/>
      <c r="O37" s="6"/>
    </row>
    <row r="38" spans="1:15" x14ac:dyDescent="0.25">
      <c r="A38" s="20" t="s">
        <v>14</v>
      </c>
      <c r="B38" s="19">
        <v>24</v>
      </c>
      <c r="C38" s="18">
        <f>B38/(1+(20/100))</f>
        <v>20</v>
      </c>
      <c r="D38" s="17">
        <f>B38/2</f>
        <v>12</v>
      </c>
      <c r="E38" s="12"/>
      <c r="F38" s="10"/>
      <c r="G38" s="11"/>
      <c r="H38" s="10"/>
      <c r="M38" s="9"/>
      <c r="N38" s="8"/>
      <c r="O38" s="6"/>
    </row>
    <row r="39" spans="1:15" ht="15.75" thickBot="1" x14ac:dyDescent="0.3">
      <c r="A39" s="16" t="s">
        <v>13</v>
      </c>
      <c r="B39" s="15">
        <v>29.9</v>
      </c>
      <c r="C39" s="14">
        <f>B39/(1+(20/100))</f>
        <v>24.916666666666668</v>
      </c>
      <c r="D39" s="13">
        <f>B39/2</f>
        <v>14.95</v>
      </c>
      <c r="E39" s="12"/>
      <c r="F39" s="10"/>
      <c r="G39" s="11"/>
      <c r="H39" s="10"/>
      <c r="M39" s="9"/>
      <c r="N39" s="8"/>
      <c r="O39" s="6"/>
    </row>
    <row r="40" spans="1:15" x14ac:dyDescent="0.25">
      <c r="A40" s="4" t="s">
        <v>12</v>
      </c>
      <c r="M40" s="7"/>
      <c r="N40" s="8"/>
      <c r="O40" s="6"/>
    </row>
    <row r="41" spans="1:15" x14ac:dyDescent="0.25">
      <c r="A41" s="4" t="s">
        <v>11</v>
      </c>
      <c r="M41" s="7"/>
      <c r="O41" s="6"/>
    </row>
    <row r="42" spans="1:15" x14ac:dyDescent="0.25">
      <c r="A42" s="4" t="s">
        <v>10</v>
      </c>
      <c r="M42" s="7"/>
      <c r="O42" s="6"/>
    </row>
    <row r="43" spans="1:15" x14ac:dyDescent="0.25">
      <c r="A43" s="4" t="s">
        <v>9</v>
      </c>
      <c r="M43" s="7"/>
      <c r="O43" s="6"/>
    </row>
    <row r="44" spans="1:15" x14ac:dyDescent="0.25">
      <c r="A44" s="5" t="s">
        <v>8</v>
      </c>
      <c r="M44" s="7"/>
      <c r="O44" s="6"/>
    </row>
    <row r="45" spans="1:15" x14ac:dyDescent="0.25">
      <c r="A45" s="5" t="s">
        <v>7</v>
      </c>
    </row>
    <row r="46" spans="1:15" x14ac:dyDescent="0.25">
      <c r="A46" s="5" t="s">
        <v>6</v>
      </c>
    </row>
    <row r="47" spans="1:15" x14ac:dyDescent="0.25">
      <c r="A47" s="5" t="s">
        <v>5</v>
      </c>
    </row>
    <row r="48" spans="1:15" x14ac:dyDescent="0.25">
      <c r="A48" s="4" t="s">
        <v>4</v>
      </c>
    </row>
    <row r="49" spans="1:1" x14ac:dyDescent="0.25">
      <c r="A49" s="4" t="s">
        <v>3</v>
      </c>
    </row>
    <row r="50" spans="1:1" x14ac:dyDescent="0.25">
      <c r="A50" s="4" t="s">
        <v>2</v>
      </c>
    </row>
    <row r="51" spans="1:1" x14ac:dyDescent="0.25">
      <c r="A51" s="4" t="s">
        <v>1</v>
      </c>
    </row>
    <row r="52" spans="1:1" x14ac:dyDescent="0.25">
      <c r="A52" s="4" t="s">
        <v>0</v>
      </c>
    </row>
  </sheetData>
  <mergeCells count="2">
    <mergeCell ref="A25:G25"/>
    <mergeCell ref="A32:G32"/>
  </mergeCells>
  <printOptions horizontalCentered="1" verticalCentered="1"/>
  <pageMargins left="0" right="0" top="0" bottom="0" header="0" footer="0"/>
  <pageSetup paperSize="9" scale="65" orientation="portrait" r:id="rId1"/>
  <rowBreaks count="1" manualBreakCount="1">
    <brk id="2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Tarifs 26</vt:lpstr>
      <vt:lpstr>'Tarifs 26'!Zone_d_impression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VASNIER Michael</dc:creator>
  <cp:lastModifiedBy>VASNIER Michael</cp:lastModifiedBy>
  <dcterms:created xsi:type="dcterms:W3CDTF">2026-06-05T10:23:15Z</dcterms:created>
  <dcterms:modified xsi:type="dcterms:W3CDTF">2026-06-05T10:23:42Z</dcterms:modified>
</cp:coreProperties>
</file>